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Inputs" sheetId="1" r:id="rId1"/>
    <sheet name="Calc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<sst xmlns="http://schemas.openxmlformats.org/spreadsheetml/2006/main" count="34" uniqueCount="27">
  <si>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Input</t>
  </si>
  <si>
    <t>Value</t>
  </si>
  <si>
    <t>Unit</t>
  </si>
  <si>
    <t>Span, L</t>
  </si>
  <si>
    <t>m</t>
  </si>
  <si>
    <t>Uniform load, w</t>
  </si>
  <si>
    <t>kN/m</t>
  </si>
  <si>
    <t>Section modulus, S</t>
  </si>
  <si>
    <t>cm3</t>
  </si>
  <si>
    <t>Second moment of area, I</t>
  </si>
  <si>
    <t>cm4</t>
  </si>
  <si>
    <t>Young's modulus, E</t>
  </si>
  <si>
    <t>GPa</t>
  </si>
  <si>
    <t>Yield strength, fy</t>
  </si>
  <si>
    <t>MPa</t>
  </si>
  <si>
    <t>Deflection limit ratio, n (limit = L/n)</t>
  </si>
  <si>
    <t>-</t>
  </si>
  <si>
    <t>Quantity</t>
  </si>
  <si>
    <t>Max bending moment, M</t>
  </si>
  <si>
    <t>kN·m</t>
  </si>
  <si>
    <t>Bending stress, sigma</t>
  </si>
  <si>
    <t>Utilisation, sigma/fy</t>
  </si>
  <si>
    <t>Stress check</t>
  </si>
  <si>
    <t>Midspan deflection, delta</t>
  </si>
  <si>
    <t>mm</t>
  </si>
  <si>
    <t>Deflection limit, L/n</t>
  </si>
  <si>
    <t>Deflection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</si>
</sst>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1" width="4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</v>
      </c>
      <c r="C2" t="s">
        <v>4</v>
      </c>
    </row>
    <row r="3" spans="1:3">
      <c r="A3" t="s">
        <v>5</v>
      </c>
      <c r="B3">
        <v>10</v>
      </c>
      <c r="C3" t="s">
        <v>6</v>
      </c>
    </row>
    <row r="4" spans="1:3">
      <c r="A4" t="s">
        <v>7</v>
      </c>
      <c r="B4">
        <v>597</v>
      </c>
      <c r="C4" t="s">
        <v>8</v>
      </c>
    </row>
    <row r="5" spans="1:3">
      <c r="A5" t="s">
        <v>9</v>
      </c>
      <c r="B5">
        <v>8503</v>
      </c>
      <c r="C5" t="s">
        <v>10</v>
      </c>
    </row>
    <row r="6" spans="1:3">
      <c r="A6" t="s">
        <v>11</v>
      </c>
      <c r="B6">
        <v>200</v>
      </c>
      <c r="C6" t="s">
        <v>12</v>
      </c>
    </row>
    <row r="7" spans="1:3">
      <c r="A7" t="s">
        <v>13</v>
      </c>
      <c r="B7">
        <v>275</v>
      </c>
      <c r="C7" t="s">
        <v>14</v>
      </c>
    </row>
    <row r="8" spans="1:3">
      <c r="A8" t="s">
        <v>15</v>
      </c>
      <c r="B8">
        <v>360</v>
      </c>
      <c r="C8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5" sqref="B5"/>
    </sheetView>
  </sheetViews>
  <sheetFormatPr defaultColWidth="9" defaultRowHeight="14.4" outlineLevelRow="7" outlineLevelCol="4"/>
  <cols>
    <col min="1" max="1" width="32" customWidth="1"/>
  </cols>
  <sheetData>
    <row r="1" spans="1:5">
      <c r="A1" t="s">
        <v>17</v>
      </c>
      <c r="B1" t="s">
        <v>1</v>
      </c>
      <c r="C1" t="s">
        <v>2</v>
      </c>
    </row>
    <row r="2" spans="1:5">
      <c r="A2" t="s">
        <v>18</v>
      </c>
      <c r="B2">
        <f>Inputs!B3*Inputs!B2^2/8</f>
        <v>45</v>
      </c>
      <c r="C2" t="s">
        <v>19</v>
      </c>
      <c r="E2">
        <v>100000</v>
      </c>
    </row>
    <row r="3" spans="1:5">
      <c r="A3" t="s">
        <v>20</v>
      </c>
      <c r="B3">
        <f>B2*1000/Inputs!B4</f>
        <v>75.3768844221105</v>
      </c>
      <c r="C3" t="s">
        <v>14</v>
      </c>
    </row>
    <row r="4" spans="1:5">
      <c r="A4" t="s">
        <v>21</v>
      </c>
      <c r="B4">
        <f>B3/Inputs!B7</f>
        <v>0.274097761534947</v>
      </c>
      <c r="C4" t="s">
        <v>16</v>
      </c>
    </row>
    <row r="5" spans="1:5">
      <c r="A5" t="s">
        <v>22</v>
      </c>
      <c r="B5" t="str">
        <f>IF(B4&lt;=1,"PASS","FAIL")</f>
        <v>PASS</v>
      </c>
      <c r="C5" t="s">
        <v>16</v>
      </c>
    </row>
    <row r="6" spans="1:5">
      <c r="A6" t="s">
        <v>23</v>
      </c>
      <c r="B6">
        <f>5*Inputs!B3*Inputs!B2^4/(384*Inputs!B6*Inputs!B5)*E2</f>
        <v>9.92296836410679</v>
      </c>
      <c r="C6" t="s">
        <v>24</v>
      </c>
    </row>
    <row r="7" spans="1:5">
      <c r="A7" t="s">
        <v>25</v>
      </c>
      <c r="B7">
        <f>Inputs!B2*1000/Inputs!B8</f>
        <v>16.6666666666667</v>
      </c>
      <c r="C7" t="s">
        <v>24</v>
      </c>
    </row>
    <row r="8" spans="1:5">
      <c r="A8" t="s">
        <v>26</v>
      </c>
      <c r="B8" t="str">
        <f>IF(B6&lt;=B7,"PASS","FAIL")</f>
        <v>PASS</v>
      </c>
      <c r="C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Inputs</vt:lpstr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2026-08-02T14:55:00Z</dcterms:created>
  <dcterms:modified xsi:type="dcterms:W3CDTF">2026-08-24T05:01:30Z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5767CC3DDC7F43C99DE719D644D6C1CE_12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